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6420735cc57ca0/Área de Trabalho/Excel Priscila/"/>
    </mc:Choice>
  </mc:AlternateContent>
  <xr:revisionPtr revIDLastSave="0" documentId="8_{F7B8CD3B-57E9-46D3-9ED1-54BB474EA4CE}" xr6:coauthVersionLast="47" xr6:coauthVersionMax="47" xr10:uidLastSave="{00000000-0000-0000-0000-000000000000}"/>
  <bookViews>
    <workbookView xWindow="8052" yWindow="1368" windowWidth="14712" windowHeight="10416" tabRatio="587" xr2:uid="{C68EE694-2116-4AC0-8034-8672DD0ED4E5}"/>
  </bookViews>
  <sheets>
    <sheet name="Planilha1" sheetId="1" r:id="rId1"/>
  </sheets>
  <definedNames>
    <definedName name="aporte">Planilha1!$D$24</definedName>
    <definedName name="patrimonio">Planilha1!$D$27</definedName>
    <definedName name="qtda_anos">Planilha1!$D$25</definedName>
    <definedName name="rendimento_carteira">Planilha1!$D$20</definedName>
    <definedName name="salario">Planilha1!$D$19</definedName>
    <definedName name="sugestao_investimento">Planilha1!$D$21</definedName>
    <definedName name="taxa_mensal">Planilha1!$D$26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D44" i="1"/>
  <c r="D45" i="1"/>
  <c r="D46" i="1"/>
  <c r="D47" i="1"/>
  <c r="D42" i="1"/>
  <c r="D48" i="1" s="1"/>
  <c r="C39" i="1"/>
  <c r="D27" i="1"/>
  <c r="D28" i="1" s="1"/>
  <c r="D21" i="1"/>
  <c r="C32" i="1"/>
  <c r="D32" i="1" s="1"/>
  <c r="C33" i="1"/>
  <c r="D33" i="1" s="1"/>
  <c r="C34" i="1"/>
  <c r="D34" i="1" s="1"/>
  <c r="C35" i="1"/>
  <c r="D35" i="1" s="1"/>
  <c r="C31" i="1"/>
  <c r="D31" i="1" s="1"/>
</calcChain>
</file>

<file path=xl/sharedStrings.xml><?xml version="1.0" encoding="utf-8"?>
<sst xmlns="http://schemas.openxmlformats.org/spreadsheetml/2006/main" count="29" uniqueCount="29">
  <si>
    <t>Quanto investir por mês?</t>
  </si>
  <si>
    <t xml:space="preserve">INVESTIMENTO MENSAL </t>
  </si>
  <si>
    <t>Por Quantos Anos</t>
  </si>
  <si>
    <t>Taxa de Rendimento mensal?</t>
  </si>
  <si>
    <t xml:space="preserve"> Patrimônio acumulado?</t>
  </si>
  <si>
    <t xml:space="preserve">Dividendos Mensais? </t>
  </si>
  <si>
    <t>Quanto em 2 Anos</t>
  </si>
  <si>
    <t>Quanto em 5 Anos</t>
  </si>
  <si>
    <t>Quanto em 10 Anos</t>
  </si>
  <si>
    <t xml:space="preserve">Quanto em 20 Anos </t>
  </si>
  <si>
    <t xml:space="preserve">Quanto em 30 Anos </t>
  </si>
  <si>
    <t>Cenários</t>
  </si>
  <si>
    <t>Dividendo</t>
  </si>
  <si>
    <t>Salário</t>
  </si>
  <si>
    <t>Sugestão de Investimeto</t>
  </si>
  <si>
    <t>Rendimento Carteira</t>
  </si>
  <si>
    <t>CONFIGURAÇÕES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</si>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</sst>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Segoe Uai"/>
    </font>
    <font>
      <sz val="11"/>
      <color theme="1"/>
      <name val="Segoe Uai"/>
    </font>
    <font>
      <b/>
      <sz val="18"/>
      <color theme="0"/>
      <name val="Segoe Uai"/>
    </font>
    <font>
      <b/>
      <sz val="11"/>
      <color theme="1"/>
      <name val="Segoe Uai"/>
    </font>
    <font>
      <sz val="11"/>
      <color theme="0"/>
      <name val="Segoe Uai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9847407452621"/>
      </top>
      <bottom style="thin">
        <color theme="0" tint="-0.14996795556505021"/>
      </bottom>
      <diagonal/>
    </border>
    <border>
      <left style="thick">
        <color theme="1"/>
      </left>
      <right/>
      <top style="thick">
        <color theme="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thick">
        <color theme="1"/>
      </top>
      <bottom style="medium">
        <color theme="0" tint="-0.1499984740745262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0" tint="-0.14996795556505021"/>
      </right>
      <top style="medium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1"/>
      </right>
      <top style="medium">
        <color theme="0" tint="-0.14999847407452621"/>
      </top>
      <bottom style="thin">
        <color theme="0" tint="-0.14996795556505021"/>
      </bottom>
      <diagonal/>
    </border>
    <border>
      <left style="thick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1"/>
      </left>
      <right style="thin">
        <color theme="0" tint="-0.14996795556505021"/>
      </right>
      <top style="thin">
        <color theme="0" tint="-0.14996795556505021"/>
      </top>
      <bottom style="thick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9847407452621"/>
      </top>
      <bottom style="thick">
        <color theme="1"/>
      </bottom>
      <diagonal/>
    </border>
    <border>
      <left style="thin">
        <color theme="0" tint="-0.14996795556505021"/>
      </left>
      <right style="thick">
        <color theme="1"/>
      </right>
      <top style="medium">
        <color theme="0" tint="-0.14999847407452621"/>
      </top>
      <bottom style="thick">
        <color theme="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auto="1"/>
      </right>
      <top/>
      <bottom style="thick">
        <color theme="2"/>
      </bottom>
      <diagonal/>
    </border>
    <border>
      <left style="thick">
        <color auto="1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2"/>
      </left>
      <right style="thick">
        <color auto="1"/>
      </right>
      <top style="thick">
        <color theme="2"/>
      </top>
      <bottom style="thick">
        <color theme="2"/>
      </bottom>
      <diagonal/>
    </border>
    <border>
      <left style="thick">
        <color auto="1"/>
      </left>
      <right style="thick">
        <color theme="2"/>
      </right>
      <top style="thick">
        <color theme="2"/>
      </top>
      <bottom style="thick">
        <color auto="1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auto="1"/>
      </bottom>
      <diagonal/>
    </border>
    <border>
      <left style="thick">
        <color theme="2"/>
      </left>
      <right style="thick">
        <color auto="1"/>
      </right>
      <top style="thick">
        <color theme="2"/>
      </top>
      <bottom style="thick">
        <color auto="1"/>
      </bottom>
      <diagonal/>
    </border>
    <border>
      <left style="thick">
        <color auto="1"/>
      </left>
      <right style="thick">
        <color theme="0" tint="-0.14996795556505021"/>
      </right>
      <top style="thick">
        <color auto="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auto="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auto="1"/>
      </right>
      <top style="thick">
        <color auto="1"/>
      </top>
      <bottom style="thick">
        <color theme="0" tint="-0.14996795556505021"/>
      </bottom>
      <diagonal/>
    </border>
    <border>
      <left style="thick">
        <color auto="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auto="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auto="1"/>
      </left>
      <right style="thick">
        <color theme="0" tint="-0.14996795556505021"/>
      </right>
      <top style="thick">
        <color theme="0" tint="-0.14996795556505021"/>
      </top>
      <bottom style="thick">
        <color auto="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auto="1"/>
      </bottom>
      <diagonal/>
    </border>
    <border>
      <left style="thick">
        <color theme="0" tint="-0.14996795556505021"/>
      </left>
      <right style="thick">
        <color auto="1"/>
      </right>
      <top style="thick">
        <color theme="0" tint="-0.1499679555650502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0" fontId="4" fillId="0" borderId="0" xfId="0" applyFont="1"/>
    <xf numFmtId="9" fontId="0" fillId="0" borderId="0" xfId="0" applyNumberFormat="1"/>
    <xf numFmtId="9" fontId="0" fillId="0" borderId="0" xfId="1" applyFont="1"/>
    <xf numFmtId="2" fontId="0" fillId="0" borderId="0" xfId="0" applyNumberFormat="1"/>
    <xf numFmtId="0" fontId="5" fillId="7" borderId="24" xfId="0" applyFont="1" applyFill="1" applyBorder="1" applyAlignment="1">
      <alignment horizontal="left" indent="1"/>
    </xf>
    <xf numFmtId="0" fontId="5" fillId="7" borderId="25" xfId="0" applyFont="1" applyFill="1" applyBorder="1" applyAlignment="1">
      <alignment horizontal="left" indent="1"/>
    </xf>
    <xf numFmtId="166" fontId="6" fillId="3" borderId="26" xfId="0" applyNumberFormat="1" applyFont="1" applyFill="1" applyBorder="1" applyAlignment="1">
      <alignment horizontal="left"/>
    </xf>
    <xf numFmtId="0" fontId="5" fillId="7" borderId="27" xfId="0" applyFont="1" applyFill="1" applyBorder="1" applyAlignment="1">
      <alignment horizontal="left" indent="1"/>
    </xf>
    <xf numFmtId="0" fontId="5" fillId="7" borderId="11" xfId="0" applyFont="1" applyFill="1" applyBorder="1" applyAlignment="1">
      <alignment horizontal="left" indent="1"/>
    </xf>
    <xf numFmtId="10" fontId="6" fillId="3" borderId="28" xfId="1" applyNumberFormat="1" applyFont="1" applyFill="1" applyBorder="1" applyAlignment="1">
      <alignment horizontal="left"/>
    </xf>
    <xf numFmtId="0" fontId="5" fillId="7" borderId="29" xfId="0" applyFont="1" applyFill="1" applyBorder="1" applyAlignment="1">
      <alignment horizontal="left" indent="1"/>
    </xf>
    <xf numFmtId="0" fontId="5" fillId="7" borderId="30" xfId="0" applyFont="1" applyFill="1" applyBorder="1" applyAlignment="1">
      <alignment horizontal="left" indent="1"/>
    </xf>
    <xf numFmtId="166" fontId="6" fillId="3" borderId="31" xfId="0" applyNumberFormat="1" applyFont="1" applyFill="1" applyBorder="1" applyAlignment="1">
      <alignment horizontal="left"/>
    </xf>
    <xf numFmtId="0" fontId="6" fillId="0" borderId="0" xfId="0" applyFont="1"/>
    <xf numFmtId="0" fontId="7" fillId="4" borderId="12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indent="1"/>
    </xf>
    <xf numFmtId="166" fontId="8" fillId="0" borderId="18" xfId="0" applyNumberFormat="1" applyFont="1" applyBorder="1" applyAlignment="1">
      <alignment horizontal="left"/>
    </xf>
    <xf numFmtId="0" fontId="5" fillId="3" borderId="19" xfId="0" applyFont="1" applyFill="1" applyBorder="1" applyAlignment="1">
      <alignment horizontal="left" indent="1"/>
    </xf>
    <xf numFmtId="0" fontId="5" fillId="3" borderId="14" xfId="0" applyFont="1" applyFill="1" applyBorder="1" applyAlignment="1">
      <alignment horizontal="left" indent="1"/>
    </xf>
    <xf numFmtId="0" fontId="8" fillId="0" borderId="20" xfId="0" applyFont="1" applyBorder="1" applyAlignment="1">
      <alignment horizontal="left"/>
    </xf>
    <xf numFmtId="10" fontId="8" fillId="0" borderId="20" xfId="1" applyNumberFormat="1" applyFont="1" applyBorder="1" applyAlignment="1">
      <alignment horizontal="left"/>
    </xf>
    <xf numFmtId="0" fontId="5" fillId="5" borderId="19" xfId="0" applyFont="1" applyFill="1" applyBorder="1" applyAlignment="1">
      <alignment horizontal="left" indent="1"/>
    </xf>
    <xf numFmtId="0" fontId="5" fillId="5" borderId="14" xfId="0" applyFont="1" applyFill="1" applyBorder="1" applyAlignment="1">
      <alignment horizontal="left" indent="1"/>
    </xf>
    <xf numFmtId="8" fontId="8" fillId="5" borderId="20" xfId="0" applyNumberFormat="1" applyFont="1" applyFill="1" applyBorder="1" applyAlignment="1">
      <alignment horizontal="left"/>
    </xf>
    <xf numFmtId="0" fontId="5" fillId="5" borderId="21" xfId="0" applyFont="1" applyFill="1" applyBorder="1" applyAlignment="1">
      <alignment horizontal="left" indent="1"/>
    </xf>
    <xf numFmtId="0" fontId="5" fillId="5" borderId="22" xfId="0" applyFont="1" applyFill="1" applyBorder="1" applyAlignment="1">
      <alignment horizontal="left" indent="1"/>
    </xf>
    <xf numFmtId="8" fontId="8" fillId="5" borderId="23" xfId="0" applyNumberFormat="1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 indent="1"/>
    </xf>
    <xf numFmtId="8" fontId="6" fillId="5" borderId="1" xfId="0" applyNumberFormat="1" applyFont="1" applyFill="1" applyBorder="1"/>
    <xf numFmtId="8" fontId="6" fillId="5" borderId="6" xfId="0" applyNumberFormat="1" applyFont="1" applyFill="1" applyBorder="1"/>
    <xf numFmtId="0" fontId="5" fillId="5" borderId="7" xfId="0" applyFont="1" applyFill="1" applyBorder="1" applyAlignment="1">
      <alignment horizontal="left" indent="1"/>
    </xf>
    <xf numFmtId="0" fontId="5" fillId="5" borderId="8" xfId="0" applyFont="1" applyFill="1" applyBorder="1" applyAlignment="1">
      <alignment horizontal="left" indent="1"/>
    </xf>
    <xf numFmtId="8" fontId="6" fillId="5" borderId="9" xfId="0" applyNumberFormat="1" applyFont="1" applyFill="1" applyBorder="1"/>
    <xf numFmtId="8" fontId="6" fillId="5" borderId="10" xfId="0" applyNumberFormat="1" applyFont="1" applyFill="1" applyBorder="1"/>
    <xf numFmtId="0" fontId="7" fillId="8" borderId="12" xfId="0" applyFont="1" applyFill="1" applyBorder="1" applyAlignment="1">
      <alignment horizontal="left"/>
    </xf>
    <xf numFmtId="0" fontId="7" fillId="8" borderId="15" xfId="0" applyFont="1" applyFill="1" applyBorder="1" applyAlignment="1">
      <alignment horizontal="left"/>
    </xf>
    <xf numFmtId="0" fontId="7" fillId="8" borderId="16" xfId="0" applyFont="1" applyFill="1" applyBorder="1" applyAlignment="1">
      <alignment horizontal="left"/>
    </xf>
    <xf numFmtId="0" fontId="2" fillId="2" borderId="0" xfId="2" applyBorder="1" applyAlignment="1">
      <alignment horizontal="left" indent="1"/>
    </xf>
    <xf numFmtId="0" fontId="2" fillId="2" borderId="0" xfId="2"/>
    <xf numFmtId="0" fontId="0" fillId="6" borderId="0" xfId="0" applyFill="1"/>
    <xf numFmtId="0" fontId="2" fillId="2" borderId="0" xfId="2" applyAlignment="1">
      <alignment horizontal="center"/>
    </xf>
    <xf numFmtId="0" fontId="3" fillId="6" borderId="0" xfId="0" applyFont="1" applyFill="1"/>
    <xf numFmtId="166" fontId="3" fillId="6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166" fontId="3" fillId="9" borderId="0" xfId="0" applyNumberFormat="1" applyFont="1" applyFill="1"/>
    <xf numFmtId="166" fontId="0" fillId="0" borderId="0" xfId="0" applyNumberFormat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73270</xdr:colOff>
      <xdr:row>1</xdr:row>
      <xdr:rowOff>14654</xdr:rowOff>
    </xdr:from>
    <xdr:to>
      <xdr:col>11</xdr:col>
      <xdr:colOff>0</xdr:colOff>
      <xdr:row>16</xdr:row>
      <xdr:rowOff>186627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750833-4055-42CD-BC3D-184AD4B35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70" y="197827"/>
          <a:ext cx="7671288" cy="291956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0030-B14E-4FCB-B6E9-7436DF73A7A9}">
  <dimension ref="A17:P48"/>
  <sheetViews>
    <sheetView showGridLines="0" tabSelected="1" topLeftCell="A26" zoomScale="104" workbookViewId="0">
      <selection activeCell="C42" sqref="C42"/>
    </sheetView>
  </sheetViews>
  <sheetFormatPr defaultRowHeight="14.4"/>
  <cols>
    <col min="2" max="2" width="30.44140625" bestFit="1" customWidth="1"/>
    <col min="3" max="3" width="24.109375" customWidth="1"/>
    <col min="4" max="4" width="13.44140625" bestFit="1" customWidth="1"/>
    <col min="5" max="5" width="4.109375" customWidth="1"/>
    <col min="6" max="6" width="5.33203125" customWidth="1"/>
    <col min="7" max="7" width="21.109375" hidden="1" customWidth="1"/>
    <col min="8" max="8" width="10.5546875" hidden="1" customWidth="1"/>
    <col min="9" max="16" width="8.88671875" customWidth="1"/>
    <col min="19" max="25" width="8.88671875" customWidth="1"/>
  </cols>
  <sheetData>
    <row r="17" spans="1:11" ht="15" thickBot="1"/>
    <row r="18" spans="1:11" ht="24" thickTop="1" thickBot="1">
      <c r="B18" s="43" t="s">
        <v>16</v>
      </c>
      <c r="C18" s="44"/>
      <c r="D18" s="45"/>
    </row>
    <row r="19" spans="1:11" ht="18" thickTop="1" thickBot="1">
      <c r="B19" s="7" t="s">
        <v>13</v>
      </c>
      <c r="C19" s="8"/>
      <c r="D19" s="9">
        <v>5000</v>
      </c>
    </row>
    <row r="20" spans="1:11" ht="18" thickTop="1" thickBot="1">
      <c r="B20" s="10" t="s">
        <v>15</v>
      </c>
      <c r="C20" s="11"/>
      <c r="D20" s="12">
        <v>6.0000000000000001E-3</v>
      </c>
    </row>
    <row r="21" spans="1:11" ht="19.8" customHeight="1" thickTop="1" thickBot="1">
      <c r="B21" s="13" t="s">
        <v>14</v>
      </c>
      <c r="C21" s="14"/>
      <c r="D21" s="15">
        <f>D19*30%</f>
        <v>1500</v>
      </c>
    </row>
    <row r="22" spans="1:11" ht="17.399999999999999" customHeight="1" thickTop="1" thickBot="1">
      <c r="B22" s="16"/>
      <c r="C22" s="16"/>
      <c r="D22" s="16"/>
    </row>
    <row r="23" spans="1:11" ht="22.2" customHeight="1" thickTop="1">
      <c r="B23" s="17" t="s">
        <v>1</v>
      </c>
      <c r="C23" s="18"/>
      <c r="D23" s="19"/>
    </row>
    <row r="24" spans="1:11" ht="17.399999999999999" thickBot="1">
      <c r="B24" s="20" t="s">
        <v>0</v>
      </c>
      <c r="C24" s="21"/>
      <c r="D24" s="22">
        <v>500</v>
      </c>
    </row>
    <row r="25" spans="1:11" ht="18" thickTop="1" thickBot="1">
      <c r="B25" s="23" t="s">
        <v>2</v>
      </c>
      <c r="C25" s="24"/>
      <c r="D25" s="25">
        <v>5</v>
      </c>
    </row>
    <row r="26" spans="1:11" ht="18" thickTop="1" thickBot="1">
      <c r="B26" s="23" t="s">
        <v>3</v>
      </c>
      <c r="C26" s="24"/>
      <c r="D26" s="26">
        <v>1.078E-2</v>
      </c>
    </row>
    <row r="27" spans="1:11" ht="18" thickTop="1" thickBot="1">
      <c r="B27" s="27" t="s">
        <v>4</v>
      </c>
      <c r="C27" s="28"/>
      <c r="D27" s="29">
        <f>FV(taxa_mensal,qtda_anos*12,aporte*-1)</f>
        <v>41874.909772441417</v>
      </c>
      <c r="H27" s="6"/>
      <c r="K27" s="5"/>
    </row>
    <row r="28" spans="1:11" ht="18" thickTop="1" thickBot="1">
      <c r="B28" s="30" t="s">
        <v>5</v>
      </c>
      <c r="C28" s="31"/>
      <c r="D28" s="32">
        <f>D27*1%</f>
        <v>418.74909772441418</v>
      </c>
    </row>
    <row r="29" spans="1:11" ht="15.6" thickTop="1" thickBot="1">
      <c r="B29" s="16"/>
      <c r="C29" s="16"/>
      <c r="D29" s="16"/>
    </row>
    <row r="30" spans="1:11" ht="24" thickTop="1" thickBot="1">
      <c r="B30" s="33" t="s">
        <v>11</v>
      </c>
      <c r="C30" s="34"/>
      <c r="D30" s="35" t="s">
        <v>12</v>
      </c>
      <c r="F30" s="4"/>
    </row>
    <row r="31" spans="1:11" ht="17.399999999999999" thickBot="1">
      <c r="A31" s="3">
        <v>2</v>
      </c>
      <c r="B31" s="36" t="s">
        <v>6</v>
      </c>
      <c r="C31" s="37">
        <f>FV($D$26,$A31*12,$D$24*-1)</f>
        <v>13612.195707295694</v>
      </c>
      <c r="D31" s="38">
        <f>C31*rendimento_carteira</f>
        <v>81.67317424377417</v>
      </c>
      <c r="G31" s="4"/>
    </row>
    <row r="32" spans="1:11" ht="17.399999999999999" thickBot="1">
      <c r="A32" s="3">
        <v>5</v>
      </c>
      <c r="B32" s="39" t="s">
        <v>7</v>
      </c>
      <c r="C32" s="37">
        <f>FV($D$26,$A32*12,$D$24*-1)</f>
        <v>41874.909772441417</v>
      </c>
      <c r="D32" s="38">
        <f>C32*rendimento_carteira</f>
        <v>251.24945863464851</v>
      </c>
    </row>
    <row r="33" spans="1:4" ht="17.399999999999999" thickBot="1">
      <c r="A33" s="3">
        <v>10</v>
      </c>
      <c r="B33" s="39" t="s">
        <v>8</v>
      </c>
      <c r="C33" s="37">
        <f>FV($D$26,$A33*12,$D$24*-1)</f>
        <v>121555.45350066722</v>
      </c>
      <c r="D33" s="38">
        <f>C33*rendimento_carteira</f>
        <v>729.33272100400336</v>
      </c>
    </row>
    <row r="34" spans="1:4" ht="17.399999999999999" thickBot="1">
      <c r="A34" s="3">
        <v>20</v>
      </c>
      <c r="B34" s="39" t="s">
        <v>9</v>
      </c>
      <c r="C34" s="37">
        <f>FV($D$26,$A34*12,$D$24*-1)</f>
        <v>561675.60862656636</v>
      </c>
      <c r="D34" s="38">
        <f>C34*rendimento_carteira</f>
        <v>3370.0536517593982</v>
      </c>
    </row>
    <row r="35" spans="1:4" ht="17.399999999999999" thickBot="1">
      <c r="A35" s="3">
        <v>30</v>
      </c>
      <c r="B35" s="40" t="s">
        <v>10</v>
      </c>
      <c r="C35" s="41">
        <f>FV($D$26,$A35*12,$D$24*-1)</f>
        <v>2155234.3126544547</v>
      </c>
      <c r="D35" s="42">
        <f>C35*rendimento_carteira</f>
        <v>12931.405875926728</v>
      </c>
    </row>
    <row r="36" spans="1:4" ht="15" thickTop="1">
      <c r="C36" s="2"/>
    </row>
    <row r="38" spans="1:4">
      <c r="B38" s="46" t="s">
        <v>17</v>
      </c>
      <c r="C38" s="49" t="s">
        <v>28</v>
      </c>
      <c r="D38" s="47"/>
    </row>
    <row r="39" spans="1:4">
      <c r="B39" s="50" t="s">
        <v>18</v>
      </c>
      <c r="C39" s="51">
        <f>aporte</f>
        <v>500</v>
      </c>
      <c r="D39" s="48"/>
    </row>
    <row r="41" spans="1:4">
      <c r="B41" s="52" t="s">
        <v>19</v>
      </c>
      <c r="C41" s="52" t="s">
        <v>20</v>
      </c>
      <c r="D41" s="52" t="s">
        <v>21</v>
      </c>
    </row>
    <row r="42" spans="1:4">
      <c r="B42" s="1" t="s">
        <v>22</v>
      </c>
      <c r="C42" s="4">
        <v>0.3</v>
      </c>
      <c r="D42" s="55">
        <f>C42*$C$39</f>
        <v>150</v>
      </c>
    </row>
    <row r="43" spans="1:4">
      <c r="B43" s="1" t="s">
        <v>23</v>
      </c>
      <c r="C43" s="4">
        <v>0.5</v>
      </c>
      <c r="D43" s="55">
        <f t="shared" ref="D43:D47" si="0">C43*$C$39</f>
        <v>250</v>
      </c>
    </row>
    <row r="44" spans="1:4">
      <c r="B44" s="1" t="s">
        <v>24</v>
      </c>
      <c r="C44" s="4">
        <v>0.1</v>
      </c>
      <c r="D44" s="55">
        <f t="shared" si="0"/>
        <v>50</v>
      </c>
    </row>
    <row r="45" spans="1:4">
      <c r="B45" s="1" t="s">
        <v>25</v>
      </c>
      <c r="C45" s="4">
        <v>0.1</v>
      </c>
      <c r="D45" s="55">
        <f t="shared" si="0"/>
        <v>50</v>
      </c>
    </row>
    <row r="46" spans="1:4">
      <c r="B46" s="1" t="s">
        <v>26</v>
      </c>
      <c r="C46" s="4">
        <v>0</v>
      </c>
      <c r="D46" s="55">
        <f t="shared" si="0"/>
        <v>0</v>
      </c>
    </row>
    <row r="47" spans="1:4">
      <c r="B47" s="1" t="s">
        <v>27</v>
      </c>
      <c r="C47" s="4">
        <v>0</v>
      </c>
      <c r="D47" s="55">
        <f t="shared" si="0"/>
        <v>0</v>
      </c>
    </row>
    <row r="48" spans="1:4">
      <c r="B48" s="53"/>
      <c r="C48" s="53"/>
      <c r="D48" s="54">
        <f>SUM(D42:D47)</f>
        <v>500</v>
      </c>
    </row>
  </sheetData>
  <mergeCells count="11">
    <mergeCell ref="B18:D18"/>
    <mergeCell ref="B27:C27"/>
    <mergeCell ref="B28:C28"/>
    <mergeCell ref="B23:D23"/>
    <mergeCell ref="B19:C19"/>
    <mergeCell ref="B20:C20"/>
    <mergeCell ref="B21:C21"/>
    <mergeCell ref="B30:C30"/>
    <mergeCell ref="B24:C24"/>
    <mergeCell ref="B25:C25"/>
    <mergeCell ref="B26:C26"/>
  </mergeCells>
  <dataValidations count="1">
    <dataValidation type="list" allowBlank="1" showInputMessage="1" showErrorMessage="1" sqref="C38" xr:uid="{DD4B5226-BF97-4770-AC83-B450408199C1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Planilha1</vt:lpstr>
      <vt:lpstr>aporte</vt:lpstr>
      <vt:lpstr>patrimonio</vt:lpstr>
      <vt:lpstr>qtda_anos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 souza</dc:creator>
  <cp:lastModifiedBy>miro souza</cp:lastModifiedBy>
  <dcterms:created xsi:type="dcterms:W3CDTF">2026-02-14T09:49:56Z</dcterms:created>
  <dcterms:modified xsi:type="dcterms:W3CDTF">2026-02-14T15:59:51Z</dcterms:modified>
</cp:coreProperties>
</file>